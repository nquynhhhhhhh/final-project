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nhTester\Project_Cuoi_Khoa\src\test\resources\dataTest\"/>
    </mc:Choice>
  </mc:AlternateContent>
  <xr:revisionPtr revIDLastSave="0" documentId="13_ncr:1_{7D8CA9E5-C86D-4AB5-94C5-92186AEE75CD}" xr6:coauthVersionLast="47" xr6:coauthVersionMax="47" xr10:uidLastSave="{00000000-0000-0000-0000-000000000000}"/>
  <bookViews>
    <workbookView xWindow="2136" yWindow="708" windowWidth="19944" windowHeight="11328" activeTab="1" xr2:uid="{D4AABB89-EE12-468A-B216-C59207BCAFCF}"/>
  </bookViews>
  <sheets>
    <sheet name="Login" sheetId="3" r:id="rId1"/>
    <sheet name="Customer" sheetId="1" r:id="rId2"/>
    <sheet name="Project" sheetId="2" r:id="rId3"/>
    <sheet name="Ta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D4" i="2"/>
  <c r="D2" i="2"/>
  <c r="D5" i="2"/>
  <c r="D3" i="2"/>
  <c r="J2" i="4"/>
  <c r="K3" i="4"/>
  <c r="K2" i="4"/>
  <c r="J3" i="4"/>
</calcChain>
</file>

<file path=xl/sharedStrings.xml><?xml version="1.0" encoding="utf-8"?>
<sst xmlns="http://schemas.openxmlformats.org/spreadsheetml/2006/main" count="157" uniqueCount="111">
  <si>
    <t>Project_Name</t>
  </si>
  <si>
    <t>Customer</t>
  </si>
  <si>
    <t>Estimated_Hours</t>
  </si>
  <si>
    <t>Start_Date</t>
  </si>
  <si>
    <t>Deadline</t>
  </si>
  <si>
    <t>Tags</t>
  </si>
  <si>
    <t>Description</t>
  </si>
  <si>
    <t>Company</t>
  </si>
  <si>
    <t>Phone</t>
  </si>
  <si>
    <t>Website</t>
  </si>
  <si>
    <t>Groups</t>
  </si>
  <si>
    <t>Address</t>
  </si>
  <si>
    <t>City</t>
  </si>
  <si>
    <t>State</t>
  </si>
  <si>
    <t>Zip_Code</t>
  </si>
  <si>
    <t>Country</t>
  </si>
  <si>
    <t>028yyzzxxx</t>
  </si>
  <si>
    <t>VIP</t>
  </si>
  <si>
    <t>HCM</t>
  </si>
  <si>
    <t>10</t>
  </si>
  <si>
    <t>7000</t>
  </si>
  <si>
    <t>Email</t>
  </si>
  <si>
    <t>Password</t>
  </si>
  <si>
    <t>loginSuccess</t>
  </si>
  <si>
    <t>admin@example.com</t>
  </si>
  <si>
    <t>123456</t>
  </si>
  <si>
    <t>admin123@example.com</t>
  </si>
  <si>
    <t>2222222</t>
  </si>
  <si>
    <t>loginFailWithEmailInvalid</t>
  </si>
  <si>
    <t>loginFailWithPassInvalid</t>
  </si>
  <si>
    <t>VAT</t>
  </si>
  <si>
    <t>Status</t>
  </si>
  <si>
    <t>Language</t>
  </si>
  <si>
    <t>Vietnam</t>
  </si>
  <si>
    <t>Billing_Type</t>
  </si>
  <si>
    <t>Task Hours</t>
  </si>
  <si>
    <t>In Progress</t>
  </si>
  <si>
    <t>Project Manager, Admin Anh Tester, Admin Example</t>
  </si>
  <si>
    <t>2</t>
  </si>
  <si>
    <t>14-04-2026</t>
  </si>
  <si>
    <t>Members</t>
  </si>
  <si>
    <t>14-05-2026</t>
  </si>
  <si>
    <t>vtyhl.com.vn</t>
  </si>
  <si>
    <t>Bình Thạnh</t>
  </si>
  <si>
    <t>Giá cả hợp lý, chất liệu hợp thời</t>
  </si>
  <si>
    <t>Currency</t>
  </si>
  <si>
    <t>USD</t>
  </si>
  <si>
    <t>Japanese</t>
  </si>
  <si>
    <t>Project_Number</t>
  </si>
  <si>
    <t>Ở đâu cũng mua được</t>
  </si>
  <si>
    <t>Testcase</t>
  </si>
  <si>
    <t>ADD</t>
  </si>
  <si>
    <t>EDIT</t>
  </si>
  <si>
    <t>DELETE</t>
  </si>
  <si>
    <t>01-06-2026</t>
  </si>
  <si>
    <t>093yyzzxxx</t>
  </si>
  <si>
    <t>vtgroup.com.jp</t>
  </si>
  <si>
    <t>Vietnamese</t>
  </si>
  <si>
    <t>Wakayama</t>
  </si>
  <si>
    <t>640xyzy</t>
  </si>
  <si>
    <t>Japan</t>
  </si>
  <si>
    <t>Cancelled</t>
  </si>
  <si>
    <t>4</t>
  </si>
  <si>
    <t>5</t>
  </si>
  <si>
    <t>30-06-2027</t>
  </si>
  <si>
    <t>01-06-2027</t>
  </si>
  <si>
    <t>30-06-2028</t>
  </si>
  <si>
    <t>Not Started</t>
  </si>
  <si>
    <t>Mái ấm của em, hạnh phúc của ta</t>
  </si>
  <si>
    <t>ADD - EDIT</t>
  </si>
  <si>
    <t xml:space="preserve">nhacuabe </t>
  </si>
  <si>
    <t>Mua hàng qua app 2026</t>
  </si>
  <si>
    <t xml:space="preserve">Thạch cao </t>
  </si>
  <si>
    <t xml:space="preserve">online </t>
  </si>
  <si>
    <t>Subject</t>
  </si>
  <si>
    <t>Hourly_Rate</t>
  </si>
  <si>
    <t>Due_Date</t>
  </si>
  <si>
    <t>Priority</t>
  </si>
  <si>
    <t>Repeat _Every</t>
  </si>
  <si>
    <t>Related_To</t>
  </si>
  <si>
    <t>Project</t>
  </si>
  <si>
    <t>Assignees</t>
  </si>
  <si>
    <t>Followers</t>
  </si>
  <si>
    <t>Mua hàng qua app 05/2026</t>
  </si>
  <si>
    <t>Task Description</t>
  </si>
  <si>
    <t>testAddNewTask_FromTaskPage</t>
  </si>
  <si>
    <t>3</t>
  </si>
  <si>
    <t>01/06/2026</t>
  </si>
  <si>
    <t>Medium</t>
  </si>
  <si>
    <t>Week</t>
  </si>
  <si>
    <t>Project Manager</t>
  </si>
  <si>
    <t>testAddNewTask_FromProjectPage</t>
  </si>
  <si>
    <t xml:space="preserve">nhanhotiennghi </t>
  </si>
  <si>
    <t>Bàn về nguyên vật liệu</t>
  </si>
  <si>
    <t>Lên plan</t>
  </si>
  <si>
    <t>AssigneesProject ManagerAdmin Anh TesterAdmin Example</t>
  </si>
  <si>
    <t>10/05/2026</t>
  </si>
  <si>
    <t>15/05/2026</t>
  </si>
  <si>
    <t>submitDataForNewCustomer</t>
  </si>
  <si>
    <t>submitData_WithNullCompany</t>
  </si>
  <si>
    <t>Passed</t>
  </si>
  <si>
    <t>2456</t>
  </si>
  <si>
    <t>2457</t>
  </si>
  <si>
    <t>Task_Number</t>
  </si>
  <si>
    <t>Chuẩn bị vật liệu</t>
  </si>
  <si>
    <t>Công ty vật liệu YHL</t>
  </si>
  <si>
    <t>Công ty thiết kế GM</t>
  </si>
  <si>
    <t>Nhà là nơi để về</t>
  </si>
  <si>
    <t>Nhà tình thương</t>
  </si>
  <si>
    <t>2459</t>
  </si>
  <si>
    <t>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</si>
</sst>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7CD2-8E73-43DE-94E6-3A28F5CAF450}">
  <dimension ref="A1:C4"/>
  <sheetViews>
    <sheetView workbookViewId="0">
      <selection sqref="A1:XFD1"/>
    </sheetView>
  </sheetViews>
  <sheetFormatPr defaultColWidth="21.77734375" defaultRowHeight="14.4" x14ac:dyDescent="0.3"/>
  <cols>
    <col min="1" max="16384" width="21.77734375" style="1"/>
  </cols>
  <sheetData>
    <row r="1" spans="1:3" s="11" customFormat="1" x14ac:dyDescent="0.3">
      <c r="A1" s="11" t="s">
        <v>50</v>
      </c>
      <c r="B1" s="11" t="s">
        <v>21</v>
      </c>
      <c r="C1" s="11" t="s">
        <v>22</v>
      </c>
    </row>
    <row r="2" spans="1:3" x14ac:dyDescent="0.3">
      <c r="A2" s="1" t="s">
        <v>23</v>
      </c>
      <c r="B2" s="1" t="s">
        <v>24</v>
      </c>
      <c r="C2" s="2" t="s">
        <v>25</v>
      </c>
    </row>
    <row r="3" spans="1:3" x14ac:dyDescent="0.3">
      <c r="A3" s="1" t="s">
        <v>28</v>
      </c>
      <c r="B3" s="1" t="s">
        <v>26</v>
      </c>
      <c r="C3" s="2" t="s">
        <v>25</v>
      </c>
    </row>
    <row r="4" spans="1:3" x14ac:dyDescent="0.3">
      <c r="A4" s="1" t="s">
        <v>29</v>
      </c>
      <c r="B4" s="1" t="s">
        <v>24</v>
      </c>
      <c r="C4" s="2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9EC2-D029-48F9-827C-BCE01AB8E176}">
  <dimension ref="A1:N4"/>
  <sheetViews>
    <sheetView tabSelected="1" workbookViewId="0">
      <selection activeCell="B1" sqref="B1:B1048576"/>
    </sheetView>
  </sheetViews>
  <sheetFormatPr defaultColWidth="21.5546875" defaultRowHeight="14.4" x14ac:dyDescent="0.3"/>
  <cols>
    <col min="1" max="16384" width="21.5546875" style="5"/>
  </cols>
  <sheetData>
    <row r="1" spans="1:14" s="7" customFormat="1" x14ac:dyDescent="0.3">
      <c r="A1" s="7" t="s">
        <v>50</v>
      </c>
      <c r="B1" s="7" t="s">
        <v>7</v>
      </c>
      <c r="C1" s="7" t="s">
        <v>30</v>
      </c>
      <c r="D1" s="7" t="s">
        <v>8</v>
      </c>
      <c r="E1" s="7" t="s">
        <v>9</v>
      </c>
      <c r="F1" s="7" t="s">
        <v>10</v>
      </c>
      <c r="G1" s="7" t="s">
        <v>45</v>
      </c>
      <c r="H1" s="7" t="s">
        <v>32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31</v>
      </c>
    </row>
    <row r="2" spans="1:14" ht="28.8" x14ac:dyDescent="0.3">
      <c r="A2" s="5" t="s">
        <v>98</v>
      </c>
      <c r="B2" s="5" t="s">
        <v>105</v>
      </c>
      <c r="C2" s="6" t="s">
        <v>19</v>
      </c>
      <c r="D2" s="5" t="s">
        <v>16</v>
      </c>
      <c r="E2" s="5" t="s">
        <v>42</v>
      </c>
      <c r="F2" s="5" t="s">
        <v>17</v>
      </c>
      <c r="G2" s="5" t="s">
        <v>46</v>
      </c>
      <c r="H2" s="5" t="s">
        <v>57</v>
      </c>
      <c r="I2" s="5" t="s">
        <v>18</v>
      </c>
      <c r="J2" s="5" t="s">
        <v>18</v>
      </c>
      <c r="K2" s="5" t="s">
        <v>43</v>
      </c>
      <c r="L2" s="6" t="s">
        <v>20</v>
      </c>
      <c r="M2" s="5" t="s">
        <v>33</v>
      </c>
      <c r="N2" s="14" t="s">
        <v>100</v>
      </c>
    </row>
    <row r="3" spans="1:14" ht="28.8" x14ac:dyDescent="0.3">
      <c r="A3" s="5" t="s">
        <v>98</v>
      </c>
      <c r="B3" s="5" t="s">
        <v>106</v>
      </c>
      <c r="C3" s="6" t="s">
        <v>19</v>
      </c>
      <c r="D3" s="5" t="s">
        <v>55</v>
      </c>
      <c r="E3" s="5" t="s">
        <v>56</v>
      </c>
      <c r="F3" s="5" t="s">
        <v>17</v>
      </c>
      <c r="G3" s="5" t="s">
        <v>46</v>
      </c>
      <c r="H3" s="5" t="s">
        <v>47</v>
      </c>
      <c r="I3" s="5" t="s">
        <v>58</v>
      </c>
      <c r="J3" s="5" t="s">
        <v>58</v>
      </c>
      <c r="K3" s="5" t="s">
        <v>58</v>
      </c>
      <c r="L3" s="6" t="s">
        <v>59</v>
      </c>
      <c r="M3" s="5" t="s">
        <v>60</v>
      </c>
      <c r="N3" s="14" t="s">
        <v>100</v>
      </c>
    </row>
    <row r="4" spans="1:14" ht="28.8" x14ac:dyDescent="0.3">
      <c r="A4" s="5" t="s">
        <v>99</v>
      </c>
      <c r="C4" s="6">
        <v>10</v>
      </c>
      <c r="D4" s="5" t="s">
        <v>55</v>
      </c>
      <c r="E4" s="5" t="s">
        <v>56</v>
      </c>
      <c r="F4" s="5" t="s">
        <v>17</v>
      </c>
      <c r="G4" s="5" t="s">
        <v>46</v>
      </c>
      <c r="H4" s="5" t="s">
        <v>47</v>
      </c>
      <c r="I4" s="5" t="s">
        <v>58</v>
      </c>
      <c r="J4" s="5" t="s">
        <v>58</v>
      </c>
      <c r="L4" s="6" t="s">
        <v>59</v>
      </c>
      <c r="M4" s="5" t="s">
        <v>60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15DE-0E0A-485E-AD31-E7992A0D7BD7}">
  <dimension ref="A1:L5"/>
  <sheetViews>
    <sheetView workbookViewId="0">
      <selection activeCell="C13" sqref="C13"/>
    </sheetView>
  </sheetViews>
  <sheetFormatPr defaultColWidth="16.5546875" defaultRowHeight="14.4" x14ac:dyDescent="0.3"/>
  <cols>
    <col min="1" max="1" width="16.5546875" style="3"/>
    <col min="2" max="2" width="16.5546875" style="8"/>
    <col min="3" max="3" width="16.5546875" style="3"/>
    <col min="4" max="4" width="18.5546875" style="3" customWidth="1"/>
    <col min="5" max="16384" width="16.5546875" style="3"/>
  </cols>
  <sheetData>
    <row r="1" spans="1:12" s="7" customFormat="1" x14ac:dyDescent="0.3">
      <c r="A1" s="7" t="s">
        <v>50</v>
      </c>
      <c r="B1" s="7" t="s">
        <v>48</v>
      </c>
      <c r="C1" s="7" t="s">
        <v>0</v>
      </c>
      <c r="D1" s="7" t="s">
        <v>1</v>
      </c>
      <c r="E1" s="7" t="s">
        <v>34</v>
      </c>
      <c r="F1" s="7" t="s">
        <v>31</v>
      </c>
      <c r="G1" s="7" t="s">
        <v>2</v>
      </c>
      <c r="H1" s="7" t="s">
        <v>40</v>
      </c>
      <c r="I1" s="7" t="s">
        <v>3</v>
      </c>
      <c r="J1" s="7" t="s">
        <v>4</v>
      </c>
      <c r="K1" s="7" t="s">
        <v>5</v>
      </c>
      <c r="L1" s="7" t="s">
        <v>6</v>
      </c>
    </row>
    <row r="2" spans="1:12" ht="43.2" x14ac:dyDescent="0.3">
      <c r="A2" s="3" t="s">
        <v>51</v>
      </c>
      <c r="B2" s="14" t="s">
        <v>109</v>
      </c>
      <c r="C2" s="3" t="s">
        <v>107</v>
      </c>
      <c r="D2" s="3" t="str">
        <f>Customer!B2</f>
        <v>Công ty vật liệu YHL</v>
      </c>
      <c r="E2" s="3" t="s">
        <v>35</v>
      </c>
      <c r="F2" s="3" t="s">
        <v>36</v>
      </c>
      <c r="G2" s="4" t="s">
        <v>38</v>
      </c>
      <c r="H2" s="3" t="s">
        <v>37</v>
      </c>
      <c r="I2" s="3" t="s">
        <v>39</v>
      </c>
      <c r="J2" s="3" t="s">
        <v>41</v>
      </c>
      <c r="K2" s="3" t="s">
        <v>72</v>
      </c>
      <c r="L2" s="3" t="s">
        <v>44</v>
      </c>
    </row>
    <row r="3" spans="1:12" ht="43.2" x14ac:dyDescent="0.3">
      <c r="A3" s="3" t="s">
        <v>69</v>
      </c>
      <c r="B3" s="10" t="s">
        <v>101</v>
      </c>
      <c r="C3" s="3" t="s">
        <v>71</v>
      </c>
      <c r="D3" s="9" t="str">
        <f>Customer!B3</f>
        <v>Công ty thiết kế GM</v>
      </c>
      <c r="E3" s="3" t="s">
        <v>35</v>
      </c>
      <c r="F3" s="3" t="s">
        <v>61</v>
      </c>
      <c r="G3" s="4">
        <v>3</v>
      </c>
      <c r="H3" s="3" t="s">
        <v>37</v>
      </c>
      <c r="I3" s="4" t="s">
        <v>54</v>
      </c>
      <c r="J3" s="4" t="s">
        <v>64</v>
      </c>
      <c r="L3" s="3" t="s">
        <v>49</v>
      </c>
    </row>
    <row r="4" spans="1:12" ht="43.2" x14ac:dyDescent="0.3">
      <c r="A4" s="3" t="s">
        <v>52</v>
      </c>
      <c r="B4" s="12" t="str">
        <f>B3</f>
        <v>2456</v>
      </c>
      <c r="C4" s="3" t="s">
        <v>108</v>
      </c>
      <c r="D4" s="3" t="str">
        <f>Customer!B2</f>
        <v>Công ty vật liệu YHL</v>
      </c>
      <c r="E4" s="3" t="s">
        <v>35</v>
      </c>
      <c r="F4" s="3" t="s">
        <v>67</v>
      </c>
      <c r="G4" s="4" t="s">
        <v>62</v>
      </c>
      <c r="H4" s="3" t="s">
        <v>37</v>
      </c>
      <c r="I4" s="4" t="s">
        <v>54</v>
      </c>
      <c r="J4" s="4" t="s">
        <v>64</v>
      </c>
      <c r="K4" s="3" t="s">
        <v>70</v>
      </c>
      <c r="L4" s="3" t="s">
        <v>68</v>
      </c>
    </row>
    <row r="5" spans="1:12" ht="43.2" x14ac:dyDescent="0.3">
      <c r="A5" s="3" t="s">
        <v>53</v>
      </c>
      <c r="B5" s="10" t="s">
        <v>102</v>
      </c>
      <c r="C5" s="3" t="s">
        <v>83</v>
      </c>
      <c r="D5" s="9" t="str">
        <f>Customer!B3</f>
        <v>Công ty thiết kế GM</v>
      </c>
      <c r="E5" s="3" t="s">
        <v>35</v>
      </c>
      <c r="F5" s="3" t="s">
        <v>61</v>
      </c>
      <c r="G5" s="4" t="s">
        <v>63</v>
      </c>
      <c r="H5" s="3" t="s">
        <v>37</v>
      </c>
      <c r="I5" s="4" t="s">
        <v>65</v>
      </c>
      <c r="J5" s="4" t="s">
        <v>66</v>
      </c>
      <c r="K5" s="3" t="s">
        <v>73</v>
      </c>
      <c r="L5" s="3" t="s">
        <v>49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AF4C-440A-4CC0-BE66-266F410C1500}">
  <dimension ref="A1:O3"/>
  <sheetViews>
    <sheetView workbookViewId="0">
      <selection activeCell="B3" sqref="B3"/>
    </sheetView>
  </sheetViews>
  <sheetFormatPr defaultColWidth="20.77734375" defaultRowHeight="14.4" x14ac:dyDescent="0.3"/>
  <cols>
    <col min="1" max="16384" width="20.77734375" style="5"/>
  </cols>
  <sheetData>
    <row r="1" spans="1:15" s="7" customFormat="1" x14ac:dyDescent="0.3">
      <c r="A1" s="7" t="s">
        <v>50</v>
      </c>
      <c r="B1" s="7" t="s">
        <v>103</v>
      </c>
      <c r="C1" s="7" t="s">
        <v>74</v>
      </c>
      <c r="D1" s="7" t="s">
        <v>75</v>
      </c>
      <c r="E1" s="7" t="s">
        <v>3</v>
      </c>
      <c r="F1" s="7" t="s">
        <v>76</v>
      </c>
      <c r="G1" s="7" t="s">
        <v>77</v>
      </c>
      <c r="H1" s="7" t="s">
        <v>78</v>
      </c>
      <c r="I1" s="7" t="s">
        <v>79</v>
      </c>
      <c r="J1" s="7" t="s">
        <v>48</v>
      </c>
      <c r="K1" s="7" t="s">
        <v>80</v>
      </c>
      <c r="L1" s="7" t="s">
        <v>81</v>
      </c>
      <c r="M1" s="7" t="s">
        <v>82</v>
      </c>
      <c r="N1" s="7" t="s">
        <v>5</v>
      </c>
      <c r="O1" s="7" t="s">
        <v>84</v>
      </c>
    </row>
    <row r="2" spans="1:15" ht="43.2" x14ac:dyDescent="0.3">
      <c r="A2" s="5" t="s">
        <v>91</v>
      </c>
      <c r="B2" s="14" t="s">
        <v>110</v>
      </c>
      <c r="C2" s="3" t="s">
        <v>94</v>
      </c>
      <c r="D2" s="6" t="s">
        <v>38</v>
      </c>
      <c r="E2" s="6" t="s">
        <v>96</v>
      </c>
      <c r="F2" s="6" t="s">
        <v>97</v>
      </c>
      <c r="G2" s="5" t="s">
        <v>88</v>
      </c>
      <c r="H2" s="5" t="s">
        <v>89</v>
      </c>
      <c r="I2" s="5" t="s">
        <v>80</v>
      </c>
      <c r="J2" s="5" t="str">
        <f xml:space="preserve"> Project!B2</f>
        <v>2459</v>
      </c>
      <c r="K2" s="5" t="str">
        <f xml:space="preserve"> Project!C2</f>
        <v>Nhà là nơi để về</v>
      </c>
      <c r="L2" s="5" t="s">
        <v>95</v>
      </c>
      <c r="M2" s="5" t="s">
        <v>90</v>
      </c>
      <c r="N2" s="5" t="s">
        <v>92</v>
      </c>
      <c r="O2" s="5" t="s">
        <v>93</v>
      </c>
    </row>
    <row r="3" spans="1:15" ht="43.2" x14ac:dyDescent="0.3">
      <c r="A3" s="5" t="s">
        <v>85</v>
      </c>
      <c r="B3" s="13"/>
      <c r="C3" s="3" t="s">
        <v>104</v>
      </c>
      <c r="D3" s="6" t="s">
        <v>86</v>
      </c>
      <c r="E3" s="6" t="s">
        <v>87</v>
      </c>
      <c r="F3" s="6" t="s">
        <v>87</v>
      </c>
      <c r="G3" s="5" t="s">
        <v>88</v>
      </c>
      <c r="H3" s="5" t="s">
        <v>89</v>
      </c>
      <c r="I3" s="5" t="s">
        <v>80</v>
      </c>
      <c r="J3" s="5" t="str">
        <f xml:space="preserve"> Project!B4</f>
        <v>2456</v>
      </c>
      <c r="K3" s="5" t="str">
        <f xml:space="preserve"> Project!C4</f>
        <v>Nhà tình thương</v>
      </c>
      <c r="L3" s="5" t="s">
        <v>95</v>
      </c>
      <c r="M3" s="5" t="s">
        <v>90</v>
      </c>
      <c r="N3" s="5" t="s">
        <v>70</v>
      </c>
      <c r="O3" s="5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Customer</vt:lpstr>
      <vt:lpstr>Project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nhu</dc:creator>
  <cp:lastModifiedBy>pham nhu</cp:lastModifiedBy>
  <dcterms:created xsi:type="dcterms:W3CDTF">2026-04-15T17:00:22Z</dcterms:created>
  <dcterms:modified xsi:type="dcterms:W3CDTF">2026-05-13T15:55:02Z</dcterms:modified>
</cp:coreProperties>
</file>