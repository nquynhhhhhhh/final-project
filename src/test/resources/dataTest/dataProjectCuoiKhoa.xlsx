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95502699-11CC-41F8-B077-9C781BEF21DB}" xr6:coauthVersionLast="47" xr6:coauthVersionMax="47" xr10:uidLastSave="{00000000-0000-0000-0000-000000000000}"/>
  <bookViews>
    <workbookView xWindow="2136" yWindow="708" windowWidth="19944" windowHeight="11328" activeTab="3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4" l="1"/>
  <c r="K2" i="4"/>
  <c r="L3" i="4"/>
  <c r="L2" i="4"/>
  <c r="D2" i="2"/>
  <c r="B4" i="2"/>
</calcChain>
</file>

<file path=xl/sharedStrings.xml><?xml version="1.0" encoding="utf-8"?>
<sst xmlns="http://schemas.openxmlformats.org/spreadsheetml/2006/main" count="157" uniqueCount="114">
  <si>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</si>
  <si>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</si>
  <si>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</si>
  <si>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</si>
  <si>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</si>
  <si>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</si>
  <si>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</si>
  <si>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</si>
  <si>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</si>
  <si>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</si>
  <si>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</si>
  <si>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</si>
  <si>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</si>
  <si>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</si>
  <si>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</si>
  <si>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</si>
  <si>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</si>
  <si>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</si>
  <si>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</si>
  <si>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</si>
  <si>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</si>
  <si>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</si>
  <si>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</si>
  <si>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</si>
  <si>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</si>
  <si>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</si>
  <si>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</si>
  <si>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</si>
  <si>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</si>
  <si>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</si>
  <si>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</si>
  <si>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</si>
  <si>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</si>
  <si>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</si>
  <si>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</si>
  <si>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</si>
  <si>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</si>
  <si>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</si>
  <si>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</si>
  <si>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</si>
  <si>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</si>
  <si>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</si>
  <si>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</si>
  <si>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</si>
  <si>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</si>
  <si>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</si>
  <si>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</si>
  <si>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</si>
  <si>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</si>
  <si>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</si>
  <si>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</si>
  <si>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</si>
  <si>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</si>
  <si>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</si>
  <si>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</si>
  <si>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</si>
  <si>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</si>
  <si>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</si>
  <si>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</si>
  <si>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</si>
  <si>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</si>
  <si>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</si>
  <si>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</si>
  <si>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</si>
  <si>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</si>
  <si>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</si>
  <si>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</si>
  <si>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</si>
  <si>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</si>
  <si>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</si>
  <si>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</si>
  <si>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</si>
  <si>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</si>
  <si>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</si>
  <si>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</si>
  <si>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>Passed</t>
  </si>
  <si>
    <t xml:space="preserve">nhacuabe </t>
  </si>
  <si>
    <t>Mua hàng qua app 2026</t>
  </si>
  <si>
    <t>2389</t>
  </si>
  <si>
    <t>Tổ ấm nhỏ</t>
  </si>
  <si>
    <t>https://crm.anhtester.com/admin/clients/client/9093</t>
  </si>
  <si>
    <t>2393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</si>
  <si>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</si>
  <si>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</si>
  <si>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</si>
  <si>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</si>
  <si>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</si>
  <si>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</si>
  <si>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</si>
  <si>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</si>
  <si>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</si>
  <si>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</si>
  <si>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</si>
  <si>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</si>
  <si>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2398</t>
  </si>
  <si>
    <t>Task Description</t>
  </si>
  <si>
    <t>testAddNewTask_FromTaskPage</t>
  </si>
  <si>
    <t>3</t>
  </si>
  <si>
    <t>01/06/2026</t>
  </si>
  <si>
    <t>Medium</t>
  </si>
  <si>
    <t>Week</t>
  </si>
  <si>
    <t>Project Manager</t>
  </si>
  <si>
    <t>testAddNewTask_FromProjectPage</t>
  </si>
  <si>
    <t xml:space="preserve">nhanhotiennghi </t>
  </si>
  <si>
    <t>Bàn về nguyên vật liệu</t>
  </si>
  <si>
    <t>Lên plan</t>
  </si>
  <si>
    <t>AssigneesProject ManagerAdmin Anh TesterAdmin Example</t>
  </si>
  <si>
    <t>11</t>
  </si>
  <si>
    <t>Task_Number</t>
  </si>
  <si>
    <t>10/05/2026</t>
  </si>
  <si>
    <t>15/05/2026</t>
  </si>
  <si>
    <t>Status_Task</t>
  </si>
  <si>
    <t>Discuss 2</t>
  </si>
  <si>
    <t>Meeting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</si>
</sst>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/>
  </sheetViews>
  <sheetFormatPr defaultColWidth="21.77734375" defaultRowHeight="14.4" x14ac:dyDescent="0.3"/>
  <cols>
    <col min="1" max="16384" width="21.77734375" style="4"/>
  </cols>
  <sheetData>
    <row r="1" spans="1:3" x14ac:dyDescent="0.3">
      <c r="A1" s="4" t="s">
        <v>51</v>
      </c>
      <c r="B1" s="4" t="s">
        <v>21</v>
      </c>
      <c r="C1" s="4" t="s">
        <v>22</v>
      </c>
    </row>
    <row r="2" spans="1:3" x14ac:dyDescent="0.3">
      <c r="A2" s="4" t="s">
        <v>23</v>
      </c>
      <c r="B2" s="4" t="s">
        <v>24</v>
      </c>
      <c r="C2" s="5" t="s">
        <v>25</v>
      </c>
    </row>
    <row r="3" spans="1:3" x14ac:dyDescent="0.3">
      <c r="A3" s="4" t="s">
        <v>28</v>
      </c>
      <c r="B3" s="4" t="s">
        <v>26</v>
      </c>
      <c r="C3" s="5" t="s">
        <v>25</v>
      </c>
    </row>
    <row r="4" spans="1:3" x14ac:dyDescent="0.3">
      <c r="A4" s="4" t="s">
        <v>29</v>
      </c>
      <c r="B4" s="4" t="s">
        <v>24</v>
      </c>
      <c r="C4" s="5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4"/>
  <sheetViews>
    <sheetView workbookViewId="0">
      <selection activeCell="K9" sqref="K9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30</v>
      </c>
      <c r="C1" s="2" t="s">
        <v>8</v>
      </c>
      <c r="D1" s="2" t="s">
        <v>9</v>
      </c>
      <c r="E1" s="2" t="s">
        <v>10</v>
      </c>
      <c r="F1" s="2" t="s">
        <v>46</v>
      </c>
      <c r="G1" s="2" t="s">
        <v>32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31</v>
      </c>
      <c r="N1" s="2" t="s">
        <v>45</v>
      </c>
    </row>
    <row r="2" spans="1:14" x14ac:dyDescent="0.3">
      <c r="A2" t="s">
        <v>60</v>
      </c>
      <c r="B2" s="1" t="s">
        <v>19</v>
      </c>
      <c r="C2" t="s">
        <v>16</v>
      </c>
      <c r="D2" t="s">
        <v>42</v>
      </c>
      <c r="E2" t="s">
        <v>17</v>
      </c>
      <c r="F2" t="s">
        <v>47</v>
      </c>
      <c r="G2" t="s">
        <v>59</v>
      </c>
      <c r="H2" t="s">
        <v>18</v>
      </c>
      <c r="I2" t="s">
        <v>18</v>
      </c>
      <c r="J2" t="s">
        <v>43</v>
      </c>
      <c r="K2" s="1" t="s">
        <v>20</v>
      </c>
      <c r="L2" t="s">
        <v>33</v>
      </c>
      <c r="M2" s="3" t="s">
        <v>75</v>
      </c>
      <c r="N2" s="3" t="s">
        <v>80</v>
      </c>
    </row>
    <row r="3" spans="1:14" x14ac:dyDescent="0.3">
      <c r="A3" t="s">
        <v>56</v>
      </c>
      <c r="B3" s="1" t="s">
        <v>19</v>
      </c>
      <c r="C3" t="s">
        <v>57</v>
      </c>
      <c r="D3" t="s">
        <v>58</v>
      </c>
      <c r="E3" t="s">
        <v>17</v>
      </c>
      <c r="F3" t="s">
        <v>47</v>
      </c>
      <c r="G3" t="s">
        <v>48</v>
      </c>
      <c r="H3" t="s">
        <v>61</v>
      </c>
      <c r="I3" t="s">
        <v>61</v>
      </c>
      <c r="K3" s="1" t="s">
        <v>62</v>
      </c>
      <c r="L3" t="s">
        <v>63</v>
      </c>
    </row>
    <row r="4" spans="1:14" x14ac:dyDescent="0.3">
      <c r="B4" s="1" t="s">
        <v>107</v>
      </c>
      <c r="C4" t="s">
        <v>57</v>
      </c>
      <c r="D4" t="s">
        <v>58</v>
      </c>
      <c r="E4" t="s">
        <v>17</v>
      </c>
      <c r="F4" t="s">
        <v>47</v>
      </c>
      <c r="G4" t="s">
        <v>48</v>
      </c>
      <c r="H4" t="s">
        <v>61</v>
      </c>
      <c r="I4" t="s">
        <v>61</v>
      </c>
      <c r="K4" s="1" t="s">
        <v>62</v>
      </c>
      <c r="L4" t="s">
        <v>63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workbookViewId="0">
      <selection activeCell="B1" sqref="B1"/>
    </sheetView>
  </sheetViews>
  <sheetFormatPr defaultColWidth="16.5546875" defaultRowHeight="14.4" x14ac:dyDescent="0.3"/>
  <cols>
    <col min="1" max="3" width="16.5546875" style="6"/>
    <col min="4" max="4" width="18.5546875" style="6" customWidth="1"/>
    <col min="5" max="16384" width="16.5546875" style="6"/>
  </cols>
  <sheetData>
    <row r="1" spans="1:12" x14ac:dyDescent="0.3">
      <c r="A1" s="6" t="s">
        <v>51</v>
      </c>
      <c r="B1" s="6" t="s">
        <v>49</v>
      </c>
      <c r="C1" s="6" t="s">
        <v>0</v>
      </c>
      <c r="D1" s="6" t="s">
        <v>1</v>
      </c>
      <c r="E1" s="6" t="s">
        <v>34</v>
      </c>
      <c r="F1" s="6" t="s">
        <v>31</v>
      </c>
      <c r="G1" s="6" t="s">
        <v>2</v>
      </c>
      <c r="H1" s="6" t="s">
        <v>40</v>
      </c>
      <c r="I1" s="6" t="s">
        <v>3</v>
      </c>
      <c r="J1" s="6" t="s">
        <v>4</v>
      </c>
      <c r="K1" s="6" t="s">
        <v>5</v>
      </c>
      <c r="L1" s="6" t="s">
        <v>6</v>
      </c>
    </row>
    <row r="2" spans="1:12" ht="43.2" x14ac:dyDescent="0.3">
      <c r="A2" s="6" t="s">
        <v>52</v>
      </c>
      <c r="B2" s="12" t="s">
        <v>81</v>
      </c>
      <c r="C2" s="6" t="s">
        <v>79</v>
      </c>
      <c r="D2" s="6" t="str">
        <f xml:space="preserve"> Customer!A3</f>
        <v>Công ty TNHH VT</v>
      </c>
      <c r="E2" s="6" t="s">
        <v>35</v>
      </c>
      <c r="F2" s="6" t="s">
        <v>36</v>
      </c>
      <c r="G2" s="7" t="s">
        <v>38</v>
      </c>
      <c r="H2" s="6" t="s">
        <v>37</v>
      </c>
      <c r="I2" s="6" t="s">
        <v>39</v>
      </c>
      <c r="J2" s="6" t="s">
        <v>41</v>
      </c>
      <c r="K2" s="6" t="s">
        <v>82</v>
      </c>
      <c r="L2" s="6" t="s">
        <v>44</v>
      </c>
    </row>
    <row r="3" spans="1:12" ht="43.2" x14ac:dyDescent="0.3">
      <c r="A3" s="6" t="s">
        <v>74</v>
      </c>
      <c r="B3" s="8" t="s">
        <v>78</v>
      </c>
      <c r="C3" s="6" t="s">
        <v>77</v>
      </c>
      <c r="D3" s="6" t="s">
        <v>64</v>
      </c>
      <c r="E3" s="6" t="s">
        <v>35</v>
      </c>
      <c r="F3" s="6" t="s">
        <v>65</v>
      </c>
      <c r="G3" s="7">
        <v>3</v>
      </c>
      <c r="H3" s="6" t="s">
        <v>37</v>
      </c>
      <c r="I3" s="7" t="s">
        <v>55</v>
      </c>
      <c r="J3" s="7" t="s">
        <v>68</v>
      </c>
      <c r="L3" s="6" t="s">
        <v>50</v>
      </c>
    </row>
    <row r="4" spans="1:12" ht="43.2" x14ac:dyDescent="0.3">
      <c r="A4" s="6" t="s">
        <v>53</v>
      </c>
      <c r="B4" s="8" t="str">
        <f>B3</f>
        <v>2389</v>
      </c>
      <c r="C4" s="6" t="s">
        <v>71</v>
      </c>
      <c r="D4" s="6" t="s">
        <v>60</v>
      </c>
      <c r="E4" s="6" t="s">
        <v>35</v>
      </c>
      <c r="F4" s="6" t="s">
        <v>72</v>
      </c>
      <c r="G4" s="7" t="s">
        <v>66</v>
      </c>
      <c r="H4" s="6" t="s">
        <v>37</v>
      </c>
      <c r="I4" s="7" t="s">
        <v>55</v>
      </c>
      <c r="J4" s="7" t="s">
        <v>68</v>
      </c>
      <c r="K4" s="6" t="s">
        <v>76</v>
      </c>
      <c r="L4" s="6" t="s">
        <v>73</v>
      </c>
    </row>
    <row r="5" spans="1:12" ht="43.2" x14ac:dyDescent="0.3">
      <c r="A5" s="6" t="s">
        <v>54</v>
      </c>
      <c r="B5" s="9" t="s">
        <v>94</v>
      </c>
      <c r="C5" s="6" t="s">
        <v>93</v>
      </c>
      <c r="D5" s="6" t="s">
        <v>64</v>
      </c>
      <c r="E5" s="6" t="s">
        <v>35</v>
      </c>
      <c r="F5" s="6" t="s">
        <v>65</v>
      </c>
      <c r="G5" s="7" t="s">
        <v>67</v>
      </c>
      <c r="H5" s="6" t="s">
        <v>37</v>
      </c>
      <c r="I5" s="7" t="s">
        <v>69</v>
      </c>
      <c r="J5" s="7" t="s">
        <v>70</v>
      </c>
      <c r="K5" s="6" t="s">
        <v>83</v>
      </c>
      <c r="L5" s="6" t="s">
        <v>50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P3"/>
  <sheetViews>
    <sheetView tabSelected="1" workbookViewId="0">
      <selection activeCell="G2" sqref="G2"/>
    </sheetView>
  </sheetViews>
  <sheetFormatPr defaultColWidth="20.77734375" defaultRowHeight="14.4" x14ac:dyDescent="0.3"/>
  <cols>
    <col min="1" max="16384" width="20.77734375" style="10"/>
  </cols>
  <sheetData>
    <row r="1" spans="1:16" x14ac:dyDescent="0.3">
      <c r="A1" s="10" t="s">
        <v>51</v>
      </c>
      <c r="B1" s="10" t="s">
        <v>108</v>
      </c>
      <c r="C1" s="10" t="s">
        <v>111</v>
      </c>
      <c r="D1" s="10" t="s">
        <v>84</v>
      </c>
      <c r="E1" s="10" t="s">
        <v>85</v>
      </c>
      <c r="F1" s="10" t="s">
        <v>3</v>
      </c>
      <c r="G1" s="10" t="s">
        <v>86</v>
      </c>
      <c r="H1" s="10" t="s">
        <v>87</v>
      </c>
      <c r="I1" s="10" t="s">
        <v>88</v>
      </c>
      <c r="J1" s="10" t="s">
        <v>89</v>
      </c>
      <c r="K1" s="10" t="s">
        <v>49</v>
      </c>
      <c r="L1" s="10" t="s">
        <v>90</v>
      </c>
      <c r="M1" s="10" t="s">
        <v>91</v>
      </c>
      <c r="N1" s="10" t="s">
        <v>92</v>
      </c>
      <c r="O1" s="10" t="s">
        <v>5</v>
      </c>
      <c r="P1" s="10" t="s">
        <v>95</v>
      </c>
    </row>
    <row r="2" spans="1:16" ht="43.2" x14ac:dyDescent="0.3">
      <c r="A2" s="10" t="s">
        <v>102</v>
      </c>
      <c r="D2" s="6" t="s">
        <v>112</v>
      </c>
      <c r="E2" s="11" t="s">
        <v>38</v>
      </c>
      <c r="F2" s="11" t="s">
        <v>109</v>
      </c>
      <c r="G2" s="11" t="s">
        <v>110</v>
      </c>
      <c r="H2" s="10" t="s">
        <v>99</v>
      </c>
      <c r="I2" s="10" t="s">
        <v>100</v>
      </c>
      <c r="J2" s="10" t="s">
        <v>90</v>
      </c>
      <c r="K2" s="10" t="str">
        <f xml:space="preserve"> Project!B2</f>
        <v>2393</v>
      </c>
      <c r="L2" s="10" t="str">
        <f xml:space="preserve"> Project!C2</f>
        <v>Tổ ấm nhỏ</v>
      </c>
      <c r="M2" s="10" t="s">
        <v>106</v>
      </c>
      <c r="N2" s="10" t="s">
        <v>101</v>
      </c>
      <c r="O2" s="10" t="s">
        <v>103</v>
      </c>
      <c r="P2" s="10" t="s">
        <v>104</v>
      </c>
    </row>
    <row r="3" spans="1:16" ht="43.2" x14ac:dyDescent="0.3">
      <c r="A3" s="10" t="s">
        <v>96</v>
      </c>
      <c r="D3" s="6" t="s">
        <v>113</v>
      </c>
      <c r="E3" s="11" t="s">
        <v>97</v>
      </c>
      <c r="F3" s="11" t="s">
        <v>98</v>
      </c>
      <c r="G3" s="11" t="s">
        <v>98</v>
      </c>
      <c r="H3" s="10" t="s">
        <v>99</v>
      </c>
      <c r="I3" s="10" t="s">
        <v>100</v>
      </c>
      <c r="J3" s="10" t="s">
        <v>90</v>
      </c>
      <c r="K3" s="10" t="str">
        <f xml:space="preserve"> Project!B4</f>
        <v>2389</v>
      </c>
      <c r="L3" s="10" t="str">
        <f xml:space="preserve"> Project!C4</f>
        <v>Xây nhà cho bé</v>
      </c>
      <c r="M3" s="10" t="s">
        <v>106</v>
      </c>
      <c r="N3" s="10" t="s">
        <v>101</v>
      </c>
      <c r="O3" s="10" t="s">
        <v>76</v>
      </c>
      <c r="P3" s="10" t="s">
        <v>105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2026-05-07T17:22:02Z</dcterms:modified>
</cp:coreProperties>
</file>